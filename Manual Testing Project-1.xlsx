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QA Engineer\"/>
    </mc:Choice>
  </mc:AlternateContent>
  <xr:revisionPtr revIDLastSave="0" documentId="13_ncr:1_{2C56AC8E-3E15-4C0E-BC65-4F87E1EC5AB5}" xr6:coauthVersionLast="47" xr6:coauthVersionMax="47" xr10:uidLastSave="{00000000-0000-0000-0000-000000000000}"/>
  <bookViews>
    <workbookView xWindow="-108" yWindow="-108" windowWidth="23256" windowHeight="12456" activeTab="4" xr2:uid="{1292937D-9A9B-4CEF-812B-C7976AF66247}"/>
  </bookViews>
  <sheets>
    <sheet name="Test Plan" sheetId="1" r:id="rId1"/>
    <sheet name="Test Case" sheetId="2" r:id="rId2"/>
    <sheet name="RTM Report" sheetId="4" r:id="rId3"/>
    <sheet name="Bug Report" sheetId="3" r:id="rId4"/>
    <sheet name="Summary Report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4" l="1"/>
  <c r="F11" i="4"/>
  <c r="F10" i="4"/>
  <c r="G10" i="4" s="1"/>
  <c r="F9" i="4"/>
  <c r="G9" i="4" s="1"/>
  <c r="F8" i="4"/>
  <c r="G8" i="4" s="1"/>
  <c r="G7" i="4"/>
  <c r="F7" i="4"/>
  <c r="F6" i="4"/>
  <c r="G6" i="4" s="1"/>
  <c r="F5" i="4"/>
  <c r="G5" i="4" s="1"/>
  <c r="F4" i="4"/>
  <c r="G4" i="4" s="1"/>
  <c r="G3" i="4"/>
  <c r="F3" i="4"/>
</calcChain>
</file>

<file path=xl/sharedStrings.xml><?xml version="1.0" encoding="utf-8"?>
<sst xmlns="http://schemas.openxmlformats.org/spreadsheetml/2006/main" count="455" uniqueCount="314">
  <si>
    <t xml:space="preserve">PROJECT NAME </t>
  </si>
  <si>
    <t>APPLICATION URL</t>
  </si>
  <si>
    <t xml:space="preserve">DOCUMENTATION VERSION  </t>
  </si>
  <si>
    <t xml:space="preserve">DATE </t>
  </si>
  <si>
    <t>REVIEWED  BY</t>
  </si>
  <si>
    <t xml:space="preserve">PREPARED  BY </t>
  </si>
  <si>
    <t>OPENCART E-COMMERCE APPLICATION ( MANUAL TESTING)</t>
  </si>
  <si>
    <t xml:space="preserve">KRISHNA SINGH </t>
  </si>
  <si>
    <t>[LEAD/MENTOR NAME]</t>
  </si>
  <si>
    <t>V 1.0</t>
  </si>
  <si>
    <t xml:space="preserve">OBJECTIVE </t>
  </si>
  <si>
    <t xml:space="preserve">PURPOSE </t>
  </si>
  <si>
    <t xml:space="preserve">GOAL </t>
  </si>
  <si>
    <t>SCOPE MODULE UNDER TEST</t>
  </si>
  <si>
    <t xml:space="preserve">INCLUDED </t>
  </si>
  <si>
    <t>EXCLUDED</t>
  </si>
  <si>
    <t xml:space="preserve">TYPE </t>
  </si>
  <si>
    <t>TECHNIQUE</t>
  </si>
  <si>
    <t xml:space="preserve">ENTRY CRITERIA </t>
  </si>
  <si>
    <t>EXIT CRITERIA</t>
  </si>
  <si>
    <t>BROWSER</t>
  </si>
  <si>
    <t>OS</t>
  </si>
  <si>
    <t>URL</t>
  </si>
  <si>
    <t>TEST DATA</t>
  </si>
  <si>
    <t>ROLES AND RESPONSIBILITIES</t>
  </si>
  <si>
    <t xml:space="preserve">TESTER </t>
  </si>
  <si>
    <t>TESTER  LEAD</t>
  </si>
  <si>
    <t>CRITICAL (S1)</t>
  </si>
  <si>
    <t>HIGH(S2)</t>
  </si>
  <si>
    <t>MEDIUM(S3)</t>
  </si>
  <si>
    <t>LOW(S4)</t>
  </si>
  <si>
    <t>Window 10/11</t>
  </si>
  <si>
    <t xml:space="preserve">https://www.opencart.com </t>
  </si>
  <si>
    <t>[Mentor Name] - Review the test case &amp; Bug Report</t>
  </si>
  <si>
    <t>Application crash, data loss, login failure – blocks all testing</t>
  </si>
  <si>
    <t>Major feature broken – significant business impact</t>
  </si>
  <si>
    <t>Feature works with workaround – moderate impact</t>
  </si>
  <si>
    <t>Minor UI issues, typos – minimal impact</t>
  </si>
  <si>
    <t>Valid user: test@example.com / Test@123  |  Invalid data sets prepared per test case</t>
  </si>
  <si>
    <t>Krishna Singh - Write Test Case And Execute Test Case ,Log Bugs</t>
  </si>
  <si>
    <t>To validate the functional behaviour of the OpenCart e-commerce demo application through structured manual testing covering all major modules.</t>
  </si>
  <si>
    <t>Ensure the application works correctly, identify defects, and report them in a structured format.</t>
  </si>
  <si>
    <t>User Registration &amp; Login | Product Search &amp; Browsing | Shopping Cart | Checkout Process | My Account | Wish List | Product Review | Forgot Password | Header &amp; Footer Navigation</t>
  </si>
  <si>
    <t>Payment Gateway (live transactions) | Admin Panel | Performance / Load Testing | API Testing</t>
  </si>
  <si>
    <t>Black-Box Manual Functional Testing</t>
  </si>
  <si>
    <t>Equivalence Partitioning | Boundary Value Analysis | Exploratory Testing | Error Guessing</t>
  </si>
  <si>
    <t>Application is accessible | Test data prepared | Test cases reviewed</t>
  </si>
  <si>
    <t>All High &amp; Medium priority test cases executed | All Critical/High bugs reported | Test summary report prepared</t>
  </si>
  <si>
    <t>OPENCART MANUAL TESTING (TEST PLAN )</t>
  </si>
  <si>
    <t>TC ID</t>
  </si>
  <si>
    <t>Module</t>
  </si>
  <si>
    <t>Sub-Module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</si>
  <si>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</si>
  <si>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</si>
  <si>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</si>
  <si>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</si>
  <si>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</si>
  <si>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</si>
  <si>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</si>
  <si>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Remarks</t>
  </si>
  <si>
    <t>TC_REG_001</t>
  </si>
  <si>
    <t>User Registration</t>
  </si>
  <si>
    <t>Register</t>
  </si>
  <si>
    <t>Verify successful registration with valid data</t>
  </si>
  <si>
    <t>1. Go to Register page
2. Enter all mandatory fields with valid data
3. Click Continue</t>
  </si>
  <si>
    <t>User registered successfully. Redirected to 'Your Account Has Been Created' page.</t>
  </si>
  <si>
    <t>Pass</t>
  </si>
  <si>
    <t>High</t>
  </si>
  <si>
    <t>TC_REG_002</t>
  </si>
  <si>
    <t>Verify registration with already registered email</t>
  </si>
  <si>
    <t>1. Go to Register page
2. Enter an already used email
3. Fill other fields
4. Click Continue</t>
  </si>
  <si>
    <t>Error message: 'E-Mail Address is already registered!'</t>
  </si>
  <si>
    <t>TC_REG_003</t>
  </si>
  <si>
    <t>Verify registration with blank mandatory fields</t>
  </si>
  <si>
    <t>1. Go to Register page
2. Leave all fields blank
3. Click Continue</t>
  </si>
  <si>
    <t>All fields blank</t>
  </si>
  <si>
    <t>Validation errors displayed for each mandatory field.</t>
  </si>
  <si>
    <t>TC_REG_004</t>
  </si>
  <si>
    <t>Verify invalid email format is rejected</t>
  </si>
  <si>
    <t>1. Go to Register page
2. Enter invalid email (abc@)
3. Fill other fields
4. Click Continue</t>
  </si>
  <si>
    <t>Email: abc@</t>
  </si>
  <si>
    <t>Validation error: Invalid email format.</t>
  </si>
  <si>
    <t>Medium</t>
  </si>
  <si>
    <t>TC_REG_005</t>
  </si>
  <si>
    <t>Verify password less than 4 characters is rejected</t>
  </si>
  <si>
    <t>Password: Abc</t>
  </si>
  <si>
    <t>Validation: 'Password must be between 4 and 20 characters!'</t>
  </si>
  <si>
    <t>TC_LOG_001</t>
  </si>
  <si>
    <t>Login</t>
  </si>
  <si>
    <t>Login Page</t>
  </si>
  <si>
    <t>Verify login with valid credentials</t>
  </si>
  <si>
    <t>1. Navigate to Login page
2. Enter valid email &amp; password
3. Click Login</t>
  </si>
  <si>
    <t>User logged in. Redirected to 'My Account' dashboard.</t>
  </si>
  <si>
    <t>TC_LOG_002</t>
  </si>
  <si>
    <t>Verify login with invalid password</t>
  </si>
  <si>
    <t>1. Navigate to Login page
2. Enter valid email with wrong password
3. Click Login</t>
  </si>
  <si>
    <t>Error: 'Warning: No match for E-Mail Address and/or Password.'</t>
  </si>
  <si>
    <t>TC_LOG_003</t>
  </si>
  <si>
    <t>Verify login with blank fields</t>
  </si>
  <si>
    <t>1. Navigate to Login page
2. Leave email &amp; password blank
3. Click Login</t>
  </si>
  <si>
    <t>Email: blank | Pass: blank</t>
  </si>
  <si>
    <t>Warning message displayed. Login does not proceed.</t>
  </si>
  <si>
    <t>TC_LOG_004</t>
  </si>
  <si>
    <t>Verify Forgot Password link navigates correctly</t>
  </si>
  <si>
    <t>1. Navigate to Login page
2. Click 'Forgotten Password' link</t>
  </si>
  <si>
    <t>N/A</t>
  </si>
  <si>
    <t>User is redirected to Forgot Password page.</t>
  </si>
  <si>
    <t>TC_SRC_001</t>
  </si>
  <si>
    <t>Search</t>
  </si>
  <si>
    <t>Search Bar</t>
  </si>
  <si>
    <t>Verify search with a valid product name</t>
  </si>
  <si>
    <t>1. Enter 'iPhone' in search bar
2. Click Search icon</t>
  </si>
  <si>
    <t>Keyword: iPhone</t>
  </si>
  <si>
    <t>Search results page displays products matching 'iPhone'.</t>
  </si>
  <si>
    <t>TC_SRC_002</t>
  </si>
  <si>
    <t>Verify search with invalid/random keyword</t>
  </si>
  <si>
    <t>1. Enter 'xyzabc123' in search bar
2. Click Search icon</t>
  </si>
  <si>
    <t>Keyword: xyzabc123</t>
  </si>
  <si>
    <t>Message: 'There is no product that matches the search criteria.'</t>
  </si>
  <si>
    <t>TC_SRC_003</t>
  </si>
  <si>
    <t>Verify search with empty keyword</t>
  </si>
  <si>
    <t>1. Leave search bar empty
2. Click Search icon</t>
  </si>
  <si>
    <t>Keyword: (blank)</t>
  </si>
  <si>
    <t>Criteria message displayed or all products shown.</t>
  </si>
  <si>
    <t>TC_CRT_001</t>
  </si>
  <si>
    <t>Shopping Cart</t>
  </si>
  <si>
    <t>Add to Cart</t>
  </si>
  <si>
    <t>Verify adding a product to cart</t>
  </si>
  <si>
    <t>1. Search a product
2. Open product page
3. Click 'Add to Cart'</t>
  </si>
  <si>
    <t>Product: MacBook</t>
  </si>
  <si>
    <t>Success message: 'Success: You have added MacBook to your shopping cart!'</t>
  </si>
  <si>
    <t>TC_CRT_002</t>
  </si>
  <si>
    <t>Cart</t>
  </si>
  <si>
    <t>Verify updating product quantity in cart</t>
  </si>
  <si>
    <t>1. Open Cart
2. Change quantity to 2
3. Click Update</t>
  </si>
  <si>
    <t>Qty: 2</t>
  </si>
  <si>
    <t>Cart updates. Total price reflects new quantity.</t>
  </si>
  <si>
    <t>TC_CRT_003</t>
  </si>
  <si>
    <t>Verify removing a product from cart</t>
  </si>
  <si>
    <t>1. Open Cart
2. Click Remove (X) for a product</t>
  </si>
  <si>
    <t>Product removed. Cart shows updated list or 'Your shopping cart is empty!'</t>
  </si>
  <si>
    <t>TC_CRT_004</t>
  </si>
  <si>
    <t>Verify cart retains items after login</t>
  </si>
  <si>
    <t>1. Add product without login
2. Login
3. Check cart</t>
  </si>
  <si>
    <t>Cart items retained after login (or merged).</t>
  </si>
  <si>
    <t>TC_CHK_001</t>
  </si>
  <si>
    <t>Checkout</t>
  </si>
  <si>
    <t>Checkout Process</t>
  </si>
  <si>
    <t>Verify guest checkout navigation</t>
  </si>
  <si>
    <t>1. Add product to cart
2. Click Checkout
3. Select 'Guest Checkout'
4. Fill required details</t>
  </si>
  <si>
    <t>Name, Address, Email filled</t>
  </si>
  <si>
    <t>Checkout proceeds to payment step.</t>
  </si>
  <si>
    <t>TC_CHK_002</t>
  </si>
  <si>
    <t>Verify checkout requires address details</t>
  </si>
  <si>
    <t>1. Add product
2. Click Checkout
3. Leave address blank
4. Click Continue</t>
  </si>
  <si>
    <t>Address fields blank</t>
  </si>
  <si>
    <t>Validation errors for mandatory address fields.</t>
  </si>
  <si>
    <t>TC_WSH_001</t>
  </si>
  <si>
    <t>Wish List</t>
  </si>
  <si>
    <t>Add to Wishlist</t>
  </si>
  <si>
    <t>Verify adding product to wishlist (logged in)</t>
  </si>
  <si>
    <t>1. Login
2. Open product
3. Click 'Add to Wish List'</t>
  </si>
  <si>
    <t>User logged in</t>
  </si>
  <si>
    <t>Success: 'You have added [Product] to your wish list!'</t>
  </si>
  <si>
    <t>TC_WSH_002</t>
  </si>
  <si>
    <t>Verify wishlist prompts login for guests</t>
  </si>
  <si>
    <t>1. Logout
2. Open product
3. Click 'Add to Wish List'</t>
  </si>
  <si>
    <t>User not logged in</t>
  </si>
  <si>
    <t>Redirected to Login page with message to login.</t>
  </si>
  <si>
    <t>TC_ACC_001</t>
  </si>
  <si>
    <t>My Account</t>
  </si>
  <si>
    <t>Edit Account</t>
  </si>
  <si>
    <t>Verify updating account information</t>
  </si>
  <si>
    <t>1. Login
2. Go to My Account &gt; Edit Account
3. Change First Name
4. Click Continue</t>
  </si>
  <si>
    <t>New First Name: Jane</t>
  </si>
  <si>
    <t>Success: 'Your account has been successfully updated!'</t>
  </si>
  <si>
    <t>TC_ACC_002</t>
  </si>
  <si>
    <t>Change Password</t>
  </si>
  <si>
    <t>Verify changing password with correct current password</t>
  </si>
  <si>
    <t>1. Login
2. Go to My Account &gt; Change Password
3. Enter old &amp; new password
4. Submit</t>
  </si>
  <si>
    <t>Old: Test@123 | New: NewPass@456</t>
  </si>
  <si>
    <t>Success: Password changed. Login works with new password.</t>
  </si>
  <si>
    <t>TC_REV_001</t>
  </si>
  <si>
    <t>Product Review</t>
  </si>
  <si>
    <t>Add Review</t>
  </si>
  <si>
    <t>Verify submitting a product review</t>
  </si>
  <si>
    <t>1. Login
2. Open any product page
3. Click 'Write a Review'
4. Fill form
5. Click Submit</t>
  </si>
  <si>
    <t>Name: John | Review text: Good product | Rating: 4</t>
  </si>
  <si>
    <t>Review submitted. 'Thank you for your review.' message shown.</t>
  </si>
  <si>
    <t>Low</t>
  </si>
  <si>
    <t>TC_NAV_001</t>
  </si>
  <si>
    <t>Navigation</t>
  </si>
  <si>
    <t>Header</t>
  </si>
  <si>
    <t>Verify all top navigation links work</t>
  </si>
  <si>
    <t>1. Click each menu item in the top navigation</t>
  </si>
  <si>
    <t>Each link navigates to the correct page without error.</t>
  </si>
  <si>
    <t>TC_NAV_002</t>
  </si>
  <si>
    <t>Footer</t>
  </si>
  <si>
    <t>Verify footer links are functional</t>
  </si>
  <si>
    <t>1. Scroll to footer
2. Click each link</t>
  </si>
  <si>
    <t>All footer links navigate to correct pages.</t>
  </si>
  <si>
    <t>Test Case</t>
  </si>
  <si>
    <t>Bug ID</t>
  </si>
  <si>
    <t>Bug Title</t>
  </si>
  <si>
    <t>Description / Steps to Reproduce</t>
  </si>
  <si>
    <t>Severity</t>
  </si>
  <si>
    <t>Reported By</t>
  </si>
  <si>
    <t>Date Reported</t>
  </si>
  <si>
    <t>BUG_001</t>
  </si>
  <si>
    <t>Open</t>
  </si>
  <si>
    <t>BUG_002</t>
  </si>
  <si>
    <t>BUG_003</t>
  </si>
  <si>
    <t xml:space="preserve"> BUG REPORT – OpenCart Manual Testing Project</t>
  </si>
  <si>
    <t>Req. ID</t>
  </si>
  <si>
    <t>Requirement Description</t>
  </si>
  <si>
    <t>Test Case IDs Mapped</t>
  </si>
  <si>
    <t>No. of TC</t>
  </si>
  <si>
    <t>Executed</t>
  </si>
  <si>
    <t>Passed</t>
  </si>
  <si>
    <t>Failed</t>
  </si>
  <si>
    <t>Coverage Status</t>
  </si>
  <si>
    <t>REQ_001</t>
  </si>
  <si>
    <t>User should be able to register a new account</t>
  </si>
  <si>
    <t>TC_REG_001, TC_REG_002, TC_REG_003, TC_REG_004, TC_REG_005</t>
  </si>
  <si>
    <t>REQ_002</t>
  </si>
  <si>
    <t>User should be able to login &amp; logout</t>
  </si>
  <si>
    <t>TC_LOG_001, TC_LOG_002, TC_LOG_003, TC_LOG_004</t>
  </si>
  <si>
    <t>REQ_003</t>
  </si>
  <si>
    <t>User should be able to search for products</t>
  </si>
  <si>
    <t>TC_SRC_001, TC_SRC_002, TC_SRC_003</t>
  </si>
  <si>
    <t>REQ_004</t>
  </si>
  <si>
    <t>User should be able to add/remove items in cart</t>
  </si>
  <si>
    <t>TC_CRT_001, TC_CRT_002, TC_CRT_003, TC_CRT_004</t>
  </si>
  <si>
    <t>REQ_005</t>
  </si>
  <si>
    <t>User should be able to complete checkout</t>
  </si>
  <si>
    <t>TC_CHK_001, TC_CHK_002</t>
  </si>
  <si>
    <t>REQ_006</t>
  </si>
  <si>
    <t>User should be able to manage wish list</t>
  </si>
  <si>
    <t>TC_WSH_001, TC_WSH_002</t>
  </si>
  <si>
    <t>REQ_007</t>
  </si>
  <si>
    <t>User should be able to manage account info</t>
  </si>
  <si>
    <t>TC_ACC_001, TC_ACC_002</t>
  </si>
  <si>
    <t>REQ_008</t>
  </si>
  <si>
    <t>User should be able to submit product reviews</t>
  </si>
  <si>
    <t>REQ_009</t>
  </si>
  <si>
    <t>Navigation links must work correctly</t>
  </si>
  <si>
    <t>TC_NAV_001, TC_NAV_002</t>
  </si>
  <si>
    <t xml:space="preserve"> REQUIREMENTS TRACEABILITY MATRIX (RTM) – OpenCart</t>
  </si>
  <si>
    <t xml:space="preserve"> 1 Failed</t>
  </si>
  <si>
    <t xml:space="preserve"> Covered</t>
  </si>
  <si>
    <t>Project</t>
  </si>
  <si>
    <t>OpenCart E-Commerce Application</t>
  </si>
  <si>
    <t>Version Tested</t>
  </si>
  <si>
    <t>OpenCart 3.x (Demo)</t>
  </si>
  <si>
    <t>Test Cycle</t>
  </si>
  <si>
    <t>Cycle 1</t>
  </si>
  <si>
    <t>Test Period</t>
  </si>
  <si>
    <t>Tester</t>
  </si>
  <si>
    <t>Environment</t>
  </si>
  <si>
    <t>Overall Status</t>
  </si>
  <si>
    <t>TEST EXECUTION METRICS</t>
  </si>
  <si>
    <t>Metric</t>
  </si>
  <si>
    <t>Count</t>
  </si>
  <si>
    <t>Total Test Cases</t>
  </si>
  <si>
    <t>Pass %</t>
  </si>
  <si>
    <t>Total Executed</t>
  </si>
  <si>
    <t>Fail %</t>
  </si>
  <si>
    <t>Not Executed</t>
  </si>
  <si>
    <t>Blocked</t>
  </si>
  <si>
    <t>Block%</t>
  </si>
  <si>
    <t>DEFECT SUMMARY BY SEVERITY</t>
  </si>
  <si>
    <t>Critical (S1)</t>
  </si>
  <si>
    <t>High (S2)</t>
  </si>
  <si>
    <t>Medium (S3)</t>
  </si>
  <si>
    <t>Low (S1)</t>
  </si>
  <si>
    <t xml:space="preserve">Krishna Singh </t>
  </si>
  <si>
    <t>Chrome | Windows 10 | demo.opencart.com</t>
  </si>
  <si>
    <t>PASS WITH DEFECTS</t>
  </si>
  <si>
    <t xml:space="preserve">  TEST SUMMARY REPORT – OpenCart Manual Testing</t>
  </si>
  <si>
    <t xml:space="preserve">Krishan Singh </t>
  </si>
  <si>
    <t>Fail</t>
  </si>
  <si>
    <t>Email: ks679485@gmail.com</t>
  </si>
  <si>
    <t>Validation error:- 
E-Mail Address does not appear to be valid!</t>
  </si>
  <si>
    <t>1. Go to Register page
2. Fill other fields
3. Enter password with 3 characters
4. Click Continue</t>
  </si>
  <si>
    <t>Email: ks679485@gmail.com | Pass: Test@123</t>
  </si>
  <si>
    <t>User logged in.
 Redirected to 'My Account' dashboard.</t>
  </si>
  <si>
    <t xml:space="preserve">
Fname: John | Lname: Doe 
Email:- ks679485@gmail.com
Pass: Test@123</t>
  </si>
  <si>
    <t xml:space="preserve">errors displayed for each mandatory field </t>
  </si>
  <si>
    <t>Validation error:-
Password must be between 4 and 20 characters!</t>
  </si>
  <si>
    <t>Email: ks679485@gmail.com | Pass: WrongPass</t>
  </si>
  <si>
    <t>validation error :-
Warning: No match for E-Mail Address and/or Password.</t>
  </si>
  <si>
    <t xml:space="preserve"> Warning: No match for E-Mail Address and/or Password 
login does not proceed</t>
  </si>
  <si>
    <t>message displayed:- 
There is no product that matches the search criteria</t>
  </si>
  <si>
    <t>message Displayed:- 
Success: You have added MacBook to your shopping cart!</t>
  </si>
  <si>
    <t>Cart updates. Total price reflects new quantity</t>
  </si>
  <si>
    <t>Success: You have modified your shopping cart!
Product removed. Cart shows updated list or 'Your shopping cart is empty!'</t>
  </si>
  <si>
    <t>Your guest account information has been saved!</t>
  </si>
  <si>
    <t xml:space="preserve"> Success: Your password has been successfully updated.
Login works with new password.</t>
  </si>
  <si>
    <t xml:space="preserve">some components are not working </t>
  </si>
  <si>
    <t xml:space="preserve">Error message not show while address field blank </t>
  </si>
  <si>
    <t xml:space="preserve">product review is not accepted by review section </t>
  </si>
  <si>
    <t xml:space="preserve">review is not submitted because module review section its not working </t>
  </si>
  <si>
    <t>Critical</t>
  </si>
  <si>
    <t xml:space="preserve">Navbar section like desktop, MP3 player , components and laptop or notebook  component are not working </t>
  </si>
  <si>
    <t>25-05-2026   to  30-05-2026</t>
  </si>
  <si>
    <t>Registered successfully 
user redirected to 'Your Account Has Been Created' page</t>
  </si>
  <si>
    <t>https://www.opencart.com/ (LOCAL INSTALLATION)</t>
  </si>
  <si>
    <t xml:space="preserve">TEST APPROACH   </t>
  </si>
  <si>
    <t xml:space="preserve">DEFECT SEVERITY CLASSIFICATION   </t>
  </si>
  <si>
    <t>Chrome (Google) Latest</t>
  </si>
  <si>
    <t>TEST ENVIRONMENT</t>
  </si>
  <si>
    <t>result page display 
product matching 'Iphone'</t>
  </si>
  <si>
    <t>Message Showed 
 Error: E-Mail Address is already registered!</t>
  </si>
  <si>
    <t>message displayed :-
There is no product that matches the search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</si>
</sst>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b/>
      <sz val="15"/>
      <color rgb="FFFFFFFF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AF4FB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FDF2E9"/>
      </patternFill>
    </fill>
    <fill>
      <patternFill patternType="solid">
        <fgColor rgb="FFE8F8F5"/>
      </patternFill>
    </fill>
    <fill>
      <patternFill patternType="solid">
        <fgColor rgb="FFFEF5E7"/>
      </patternFill>
    </fill>
    <fill>
      <patternFill patternType="solid">
        <fgColor rgb="FFF2F3F4"/>
      </patternFill>
    </fill>
    <fill>
      <patternFill patternType="solid">
        <fgColor theme="0"/>
        <bgColor indexed="64"/>
      </patternFill>
    </fill>
    <fill>
      <patternFill patternType="solid">
        <fgColor rgb="FFC0392B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1" fillId="0" borderId="0" applyFont="0" applyFill="0" applyBorder="0" applyAlignment="0" applyProtection="0"/>
  </cellStyleXfs>
  <cellXfs count="69">
    <xf numFmtId="0" fontId="0" fillId="0" borderId="0" xfId="0"/>
    <xf numFmtId="0" fontId="0" fillId="7" borderId="0" xfId="0" applyFill="1"/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vertical="center" wrapText="1"/>
    </xf>
    <xf numFmtId="0" fontId="7" fillId="21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1" fillId="6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left" vertical="center" readingOrder="1"/>
    </xf>
    <xf numFmtId="0" fontId="0" fillId="0" borderId="0" xfId="0" applyAlignment="1">
      <alignment horizontal="left" vertical="center" readingOrder="1"/>
    </xf>
    <xf numFmtId="0" fontId="6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" fillId="23" borderId="0" xfId="0" applyFont="1" applyFill="1" applyAlignment="1">
      <alignment horizontal="center" vertical="center"/>
    </xf>
    <xf numFmtId="0" fontId="0" fillId="23" borderId="0" xfId="0" applyFill="1"/>
    <xf numFmtId="0" fontId="6" fillId="19" borderId="0" xfId="0" applyFont="1" applyFill="1" applyAlignment="1">
      <alignment horizontal="center" vertical="center"/>
    </xf>
    <xf numFmtId="0" fontId="0" fillId="19" borderId="0" xfId="0" applyFill="1"/>
    <xf numFmtId="0" fontId="9" fillId="4" borderId="4" xfId="0" applyFont="1" applyFill="1" applyBorder="1" applyAlignment="1">
      <alignment horizontal="left" vertical="center" wrapText="1"/>
    </xf>
    <xf numFmtId="0" fontId="0" fillId="0" borderId="0" xfId="0"/>
    <xf numFmtId="0" fontId="10" fillId="24" borderId="0" xfId="0" applyFont="1" applyFill="1" applyAlignment="1">
      <alignment horizontal="center" vertical="center"/>
    </xf>
    <xf numFmtId="0" fontId="0" fillId="24" borderId="0" xfId="0" applyFill="1"/>
    <xf numFmtId="0" fontId="0" fillId="24" borderId="0" xfId="0" applyFill="1" applyAlignment="1">
      <alignment horizontal="center" vertical="center"/>
    </xf>
    <xf numFmtId="0" fontId="7" fillId="19" borderId="2" xfId="0" applyFont="1" applyFill="1" applyBorder="1" applyAlignment="1">
      <alignment horizontal="left" vertical="center" wrapText="1"/>
    </xf>
    <xf numFmtId="0" fontId="0" fillId="19" borderId="2" xfId="0" applyFill="1" applyBorder="1"/>
    <xf numFmtId="0" fontId="8" fillId="24" borderId="0" xfId="0" applyFont="1" applyFill="1" applyAlignment="1">
      <alignment horizontal="center" vertical="center"/>
    </xf>
    <xf numFmtId="0" fontId="7" fillId="21" borderId="2" xfId="0" applyFont="1" applyFill="1" applyBorder="1" applyAlignment="1">
      <alignment horizontal="left" vertical="center" wrapText="1"/>
    </xf>
    <xf numFmtId="0" fontId="0" fillId="0" borderId="2" xfId="0" applyBorder="1"/>
    <xf numFmtId="9" fontId="7" fillId="4" borderId="1" xfId="2" applyFont="1" applyFill="1" applyBorder="1" applyAlignment="1">
      <alignment horizontal="center" vertical="center" wrapText="1"/>
    </xf>
    <xf numFmtId="165" fontId="7" fillId="21" borderId="5" xfId="0" applyNumberFormat="1" applyFont="1" applyFill="1" applyBorder="1" applyAlignment="1">
      <alignment horizontal="left" vertical="center" wrapText="1"/>
    </xf>
    <xf numFmtId="165" fontId="0" fillId="0" borderId="5" xfId="0" applyNumberFormat="1" applyBorder="1"/>
    <xf numFmtId="9" fontId="7" fillId="4" borderId="1" xfId="2" applyNumberFormat="1" applyFont="1" applyFill="1" applyBorder="1" applyAlignment="1">
      <alignment horizontal="center" vertical="center" wrapText="1"/>
    </xf>
    <xf numFmtId="165" fontId="5" fillId="21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left" vertical="center"/>
    </xf>
    <xf numFmtId="165" fontId="0" fillId="7" borderId="0" xfId="0" applyNumberFormat="1" applyFill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F2BEB4"/>
      <color rgb="FFFAD1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opencart.com/" TargetMode="External"/><Relationship Id="rId1" Type="http://schemas.openxmlformats.org/officeDocument/2006/relationships/hyperlink" Target="https://www.opencart.com/%20(LOCAL%20INSTALLATIO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B11E-1068-411B-AF7D-BEC52E57A6B1}">
  <sheetPr>
    <tabColor rgb="FFFFC000"/>
  </sheetPr>
  <dimension ref="A1:T37"/>
  <sheetViews>
    <sheetView topLeftCell="A2" zoomScale="93" zoomScaleNormal="100" workbookViewId="0">
      <selection activeCell="A6" sqref="A6"/>
    </sheetView>
  </sheetViews>
  <sheetFormatPr defaultRowHeight="14.4" x14ac:dyDescent="0.3"/>
  <cols>
    <col min="1" max="1" width="31.21875" customWidth="1"/>
  </cols>
  <sheetData>
    <row r="1" spans="1:20" ht="30" customHeight="1" x14ac:dyDescent="0.3">
      <c r="A1" s="38" t="s">
        <v>48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29.4" customHeight="1" x14ac:dyDescent="0.3">
      <c r="A2" s="1" t="s">
        <v>0</v>
      </c>
      <c r="B2" s="39" t="s">
        <v>6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0" ht="28.2" customHeight="1" x14ac:dyDescent="0.3">
      <c r="A3" s="1" t="s">
        <v>1</v>
      </c>
      <c r="B3" s="40" t="s">
        <v>306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27" customHeight="1" x14ac:dyDescent="0.3">
      <c r="A4" s="1" t="s">
        <v>2</v>
      </c>
      <c r="B4" s="39" t="s">
        <v>9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spans="1:20" ht="29.4" customHeight="1" x14ac:dyDescent="0.3">
      <c r="A5" s="1" t="s">
        <v>5</v>
      </c>
      <c r="B5" s="39" t="s">
        <v>7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</row>
    <row r="6" spans="1:20" ht="28.2" customHeight="1" x14ac:dyDescent="0.3">
      <c r="A6" s="68" t="s">
        <v>3</v>
      </c>
      <c r="B6" s="67">
        <v>46168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</row>
    <row r="7" spans="1:20" ht="28.2" customHeight="1" x14ac:dyDescent="0.3">
      <c r="A7" s="1" t="s">
        <v>4</v>
      </c>
      <c r="B7" s="41" t="s">
        <v>8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0" ht="30" customHeight="1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</row>
    <row r="9" spans="1:20" ht="24" customHeight="1" x14ac:dyDescent="0.3">
      <c r="A9" s="42" t="s">
        <v>10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</row>
    <row r="10" spans="1:20" x14ac:dyDescent="0.3">
      <c r="A10" s="1" t="s">
        <v>11</v>
      </c>
      <c r="B10" s="39" t="s">
        <v>40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</row>
    <row r="11" spans="1:20" x14ac:dyDescent="0.3">
      <c r="A11" s="1" t="s">
        <v>12</v>
      </c>
      <c r="B11" s="39" t="s">
        <v>41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</row>
    <row r="12" spans="1:20" ht="30.6" customHeight="1" x14ac:dyDescent="0.3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 ht="24" customHeight="1" x14ac:dyDescent="0.3">
      <c r="A13" s="42" t="s">
        <v>13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</row>
    <row r="14" spans="1:20" x14ac:dyDescent="0.3">
      <c r="A14" s="1" t="s">
        <v>14</v>
      </c>
      <c r="B14" s="39" t="s">
        <v>42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</row>
    <row r="15" spans="1:20" x14ac:dyDescent="0.3">
      <c r="A15" s="1" t="s">
        <v>15</v>
      </c>
      <c r="B15" s="39" t="s">
        <v>43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</row>
    <row r="16" spans="1:20" ht="31.2" customHeight="1" x14ac:dyDescent="0.3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 spans="1:20" ht="24.6" customHeight="1" x14ac:dyDescent="0.3">
      <c r="A17" s="42" t="s">
        <v>307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</row>
    <row r="18" spans="1:20" x14ac:dyDescent="0.3">
      <c r="A18" s="1" t="s">
        <v>16</v>
      </c>
      <c r="B18" s="39" t="s">
        <v>44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</row>
    <row r="19" spans="1:20" x14ac:dyDescent="0.3">
      <c r="A19" s="1" t="s">
        <v>17</v>
      </c>
      <c r="B19" s="39" t="s">
        <v>45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</row>
    <row r="20" spans="1:20" x14ac:dyDescent="0.3">
      <c r="A20" s="1" t="s">
        <v>18</v>
      </c>
      <c r="B20" s="39" t="s">
        <v>46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</row>
    <row r="21" spans="1:20" x14ac:dyDescent="0.3">
      <c r="A21" s="1" t="s">
        <v>19</v>
      </c>
      <c r="B21" s="39" t="s">
        <v>47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</row>
    <row r="22" spans="1:20" ht="30.6" customHeight="1" x14ac:dyDescent="0.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ht="24.6" customHeight="1" x14ac:dyDescent="0.3">
      <c r="A23" s="42" t="s">
        <v>310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</row>
    <row r="24" spans="1:20" x14ac:dyDescent="0.3">
      <c r="A24" s="1" t="s">
        <v>20</v>
      </c>
      <c r="B24" s="39" t="s">
        <v>309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</row>
    <row r="25" spans="1:20" x14ac:dyDescent="0.3">
      <c r="A25" s="1" t="s">
        <v>21</v>
      </c>
      <c r="B25" s="39" t="s">
        <v>31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</row>
    <row r="26" spans="1:20" x14ac:dyDescent="0.3">
      <c r="A26" s="1" t="s">
        <v>22</v>
      </c>
      <c r="B26" s="44" t="s">
        <v>32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</row>
    <row r="27" spans="1:20" x14ac:dyDescent="0.3">
      <c r="A27" s="1" t="s">
        <v>23</v>
      </c>
      <c r="B27" s="39" t="s">
        <v>38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</row>
    <row r="28" spans="1:20" ht="30.6" customHeight="1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</row>
    <row r="29" spans="1:20" ht="25.2" customHeight="1" x14ac:dyDescent="0.3">
      <c r="A29" s="42" t="s">
        <v>24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</row>
    <row r="30" spans="1:20" x14ac:dyDescent="0.3">
      <c r="A30" s="1" t="s">
        <v>25</v>
      </c>
      <c r="B30" s="39" t="s">
        <v>39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</row>
    <row r="31" spans="1:20" x14ac:dyDescent="0.3">
      <c r="A31" s="1" t="s">
        <v>26</v>
      </c>
      <c r="B31" s="39" t="s">
        <v>33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</row>
    <row r="32" spans="1:20" ht="30.6" customHeight="1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 ht="24.6" customHeight="1" x14ac:dyDescent="0.3">
      <c r="A33" s="42" t="s">
        <v>308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</row>
    <row r="34" spans="1:20" x14ac:dyDescent="0.3">
      <c r="A34" s="1" t="s">
        <v>27</v>
      </c>
      <c r="B34" s="39" t="s">
        <v>34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 spans="1:20" x14ac:dyDescent="0.3">
      <c r="A35" s="1" t="s">
        <v>28</v>
      </c>
      <c r="B35" s="39" t="s">
        <v>35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  <row r="36" spans="1:20" x14ac:dyDescent="0.3">
      <c r="A36" s="1" t="s">
        <v>29</v>
      </c>
      <c r="B36" s="39" t="s">
        <v>36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</row>
    <row r="37" spans="1:20" x14ac:dyDescent="0.3">
      <c r="A37" s="1" t="s">
        <v>30</v>
      </c>
      <c r="B37" s="39" t="s">
        <v>37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</row>
  </sheetData>
  <mergeCells count="37">
    <mergeCell ref="B37:T37"/>
    <mergeCell ref="A16:T16"/>
    <mergeCell ref="A22:T22"/>
    <mergeCell ref="A28:T28"/>
    <mergeCell ref="A32:T32"/>
    <mergeCell ref="A17:T17"/>
    <mergeCell ref="A23:T23"/>
    <mergeCell ref="A29:T29"/>
    <mergeCell ref="A33:T33"/>
    <mergeCell ref="B30:T30"/>
    <mergeCell ref="B31:T31"/>
    <mergeCell ref="B34:T34"/>
    <mergeCell ref="B35:T35"/>
    <mergeCell ref="B36:T36"/>
    <mergeCell ref="B24:T24"/>
    <mergeCell ref="B25:T25"/>
    <mergeCell ref="B26:T26"/>
    <mergeCell ref="B27:T27"/>
    <mergeCell ref="B19:T19"/>
    <mergeCell ref="B20:T20"/>
    <mergeCell ref="B21:T21"/>
    <mergeCell ref="A1:T1"/>
    <mergeCell ref="B18:T18"/>
    <mergeCell ref="B2:T2"/>
    <mergeCell ref="B3:T3"/>
    <mergeCell ref="B4:T4"/>
    <mergeCell ref="B5:T5"/>
    <mergeCell ref="B6:T6"/>
    <mergeCell ref="B7:T7"/>
    <mergeCell ref="B10:T10"/>
    <mergeCell ref="B11:T11"/>
    <mergeCell ref="A13:T13"/>
    <mergeCell ref="B14:T14"/>
    <mergeCell ref="B15:T15"/>
    <mergeCell ref="A8:T8"/>
    <mergeCell ref="A9:T9"/>
    <mergeCell ref="A12:T12"/>
  </mergeCells>
  <hyperlinks>
    <hyperlink ref="B3" r:id="rId1" xr:uid="{E3110C1E-60F9-4CB6-A14E-653F569B0D98}"/>
    <hyperlink ref="B26" r:id="rId2" xr:uid="{3BC55151-D029-4831-BEC4-80F60D5BC26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CF41-CC84-4284-A3C1-44836430B6ED}">
  <sheetPr>
    <tabColor rgb="FFFFFF00"/>
  </sheetPr>
  <dimension ref="A1:K27"/>
  <sheetViews>
    <sheetView topLeftCell="A9" zoomScale="55" workbookViewId="0">
      <selection activeCell="H14" sqref="H14"/>
    </sheetView>
  </sheetViews>
  <sheetFormatPr defaultRowHeight="14.4" x14ac:dyDescent="0.3"/>
  <cols>
    <col min="1" max="1" width="17.88671875" customWidth="1"/>
    <col min="2" max="2" width="17.6640625" customWidth="1"/>
    <col min="3" max="3" width="17.88671875" customWidth="1"/>
    <col min="4" max="4" width="26.6640625" customWidth="1"/>
    <col min="5" max="5" width="28" customWidth="1"/>
    <col min="6" max="6" width="23.77734375" customWidth="1"/>
    <col min="7" max="7" width="24.33203125" customWidth="1"/>
    <col min="8" max="8" width="33.33203125" customWidth="1"/>
    <col min="9" max="9" width="17.88671875" customWidth="1"/>
    <col min="10" max="10" width="16" customWidth="1"/>
    <col min="11" max="11" width="17.88671875" customWidth="1"/>
  </cols>
  <sheetData>
    <row r="1" spans="1:11" ht="27" customHeight="1" x14ac:dyDescent="0.3">
      <c r="A1" s="46" t="s">
        <v>201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43.8" customHeight="1" x14ac:dyDescent="0.3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</row>
    <row r="3" spans="1:11" ht="93.6" customHeight="1" x14ac:dyDescent="0.3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286</v>
      </c>
      <c r="G3" s="3" t="s">
        <v>65</v>
      </c>
      <c r="H3" s="3" t="s">
        <v>305</v>
      </c>
      <c r="I3" s="4" t="s">
        <v>66</v>
      </c>
      <c r="J3" s="5" t="s">
        <v>67</v>
      </c>
      <c r="K3" s="3"/>
    </row>
    <row r="4" spans="1:11" ht="75.599999999999994" customHeight="1" x14ac:dyDescent="0.3">
      <c r="A4" s="3" t="s">
        <v>68</v>
      </c>
      <c r="B4" s="3" t="s">
        <v>61</v>
      </c>
      <c r="C4" s="3" t="s">
        <v>62</v>
      </c>
      <c r="D4" s="3" t="s">
        <v>69</v>
      </c>
      <c r="E4" s="3" t="s">
        <v>70</v>
      </c>
      <c r="F4" s="3" t="s">
        <v>281</v>
      </c>
      <c r="G4" s="3" t="s">
        <v>71</v>
      </c>
      <c r="H4" s="3" t="s">
        <v>312</v>
      </c>
      <c r="I4" s="4" t="s">
        <v>66</v>
      </c>
      <c r="J4" s="5" t="s">
        <v>67</v>
      </c>
      <c r="K4" s="3"/>
    </row>
    <row r="5" spans="1:11" ht="71.400000000000006" customHeight="1" x14ac:dyDescent="0.3">
      <c r="A5" s="3" t="s">
        <v>72</v>
      </c>
      <c r="B5" s="3" t="s">
        <v>61</v>
      </c>
      <c r="C5" s="3" t="s">
        <v>62</v>
      </c>
      <c r="D5" s="3" t="s">
        <v>73</v>
      </c>
      <c r="E5" s="3" t="s">
        <v>74</v>
      </c>
      <c r="F5" s="3" t="s">
        <v>75</v>
      </c>
      <c r="G5" s="3" t="s">
        <v>76</v>
      </c>
      <c r="H5" s="3" t="s">
        <v>287</v>
      </c>
      <c r="I5" s="4" t="s">
        <v>66</v>
      </c>
      <c r="J5" s="5" t="s">
        <v>67</v>
      </c>
      <c r="K5" s="3"/>
    </row>
    <row r="6" spans="1:11" ht="80.400000000000006" customHeight="1" x14ac:dyDescent="0.3">
      <c r="A6" s="3" t="s">
        <v>77</v>
      </c>
      <c r="B6" s="3" t="s">
        <v>61</v>
      </c>
      <c r="C6" s="3" t="s">
        <v>62</v>
      </c>
      <c r="D6" s="3" t="s">
        <v>78</v>
      </c>
      <c r="E6" s="3" t="s">
        <v>79</v>
      </c>
      <c r="F6" s="3" t="s">
        <v>80</v>
      </c>
      <c r="G6" s="3" t="s">
        <v>81</v>
      </c>
      <c r="H6" s="3" t="s">
        <v>282</v>
      </c>
      <c r="I6" s="4" t="s">
        <v>66</v>
      </c>
      <c r="J6" s="6" t="s">
        <v>82</v>
      </c>
      <c r="K6" s="3"/>
    </row>
    <row r="7" spans="1:11" ht="81" customHeight="1" x14ac:dyDescent="0.3">
      <c r="A7" s="3" t="s">
        <v>83</v>
      </c>
      <c r="B7" s="3" t="s">
        <v>61</v>
      </c>
      <c r="C7" s="3" t="s">
        <v>62</v>
      </c>
      <c r="D7" s="3" t="s">
        <v>84</v>
      </c>
      <c r="E7" s="3" t="s">
        <v>283</v>
      </c>
      <c r="F7" s="3" t="s">
        <v>85</v>
      </c>
      <c r="G7" s="3" t="s">
        <v>86</v>
      </c>
      <c r="H7" s="3" t="s">
        <v>288</v>
      </c>
      <c r="I7" s="4" t="s">
        <v>66</v>
      </c>
      <c r="J7" s="6" t="s">
        <v>82</v>
      </c>
      <c r="K7" s="3"/>
    </row>
    <row r="8" spans="1:11" ht="76.8" customHeight="1" x14ac:dyDescent="0.3">
      <c r="A8" s="7" t="s">
        <v>87</v>
      </c>
      <c r="B8" s="7" t="s">
        <v>88</v>
      </c>
      <c r="C8" s="7" t="s">
        <v>89</v>
      </c>
      <c r="D8" s="7" t="s">
        <v>90</v>
      </c>
      <c r="E8" s="7" t="s">
        <v>91</v>
      </c>
      <c r="F8" s="7" t="s">
        <v>284</v>
      </c>
      <c r="G8" s="7" t="s">
        <v>92</v>
      </c>
      <c r="H8" s="7" t="s">
        <v>285</v>
      </c>
      <c r="I8" s="4" t="s">
        <v>66</v>
      </c>
      <c r="J8" s="5" t="s">
        <v>67</v>
      </c>
      <c r="K8" s="7"/>
    </row>
    <row r="9" spans="1:11" ht="84" customHeight="1" x14ac:dyDescent="0.3">
      <c r="A9" s="7" t="s">
        <v>93</v>
      </c>
      <c r="B9" s="7" t="s">
        <v>88</v>
      </c>
      <c r="C9" s="7" t="s">
        <v>89</v>
      </c>
      <c r="D9" s="7" t="s">
        <v>94</v>
      </c>
      <c r="E9" s="7" t="s">
        <v>95</v>
      </c>
      <c r="F9" s="7" t="s">
        <v>289</v>
      </c>
      <c r="G9" s="7" t="s">
        <v>96</v>
      </c>
      <c r="H9" s="7" t="s">
        <v>290</v>
      </c>
      <c r="I9" s="4" t="s">
        <v>66</v>
      </c>
      <c r="J9" s="5" t="s">
        <v>67</v>
      </c>
      <c r="K9" s="7"/>
    </row>
    <row r="10" spans="1:11" ht="98.4" customHeight="1" x14ac:dyDescent="0.3">
      <c r="A10" s="7" t="s">
        <v>97</v>
      </c>
      <c r="B10" s="7" t="s">
        <v>88</v>
      </c>
      <c r="C10" s="7" t="s">
        <v>89</v>
      </c>
      <c r="D10" s="7" t="s">
        <v>98</v>
      </c>
      <c r="E10" s="7" t="s">
        <v>99</v>
      </c>
      <c r="F10" s="7" t="s">
        <v>100</v>
      </c>
      <c r="G10" s="7" t="s">
        <v>101</v>
      </c>
      <c r="H10" s="7" t="s">
        <v>291</v>
      </c>
      <c r="I10" s="4" t="s">
        <v>66</v>
      </c>
      <c r="J10" s="5" t="s">
        <v>67</v>
      </c>
      <c r="K10" s="7"/>
    </row>
    <row r="11" spans="1:11" ht="66" customHeight="1" x14ac:dyDescent="0.3">
      <c r="A11" s="7" t="s">
        <v>102</v>
      </c>
      <c r="B11" s="7" t="s">
        <v>88</v>
      </c>
      <c r="C11" s="7" t="s">
        <v>89</v>
      </c>
      <c r="D11" s="7" t="s">
        <v>103</v>
      </c>
      <c r="E11" s="7" t="s">
        <v>104</v>
      </c>
      <c r="F11" s="7" t="s">
        <v>105</v>
      </c>
      <c r="G11" s="7" t="s">
        <v>106</v>
      </c>
      <c r="H11" s="7" t="s">
        <v>106</v>
      </c>
      <c r="I11" s="4" t="s">
        <v>66</v>
      </c>
      <c r="J11" s="6" t="s">
        <v>82</v>
      </c>
      <c r="K11" s="7"/>
    </row>
    <row r="12" spans="1:11" ht="70.8" customHeight="1" x14ac:dyDescent="0.3">
      <c r="A12" s="8" t="s">
        <v>107</v>
      </c>
      <c r="B12" s="8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311</v>
      </c>
      <c r="I12" s="4" t="s">
        <v>66</v>
      </c>
      <c r="J12" s="5" t="s">
        <v>67</v>
      </c>
      <c r="K12" s="8"/>
    </row>
    <row r="13" spans="1:11" ht="84" customHeight="1" x14ac:dyDescent="0.3">
      <c r="A13" s="8" t="s">
        <v>114</v>
      </c>
      <c r="B13" s="8" t="s">
        <v>108</v>
      </c>
      <c r="C13" s="8" t="s">
        <v>109</v>
      </c>
      <c r="D13" s="8" t="s">
        <v>115</v>
      </c>
      <c r="E13" s="8" t="s">
        <v>116</v>
      </c>
      <c r="F13" s="8" t="s">
        <v>117</v>
      </c>
      <c r="G13" s="8" t="s">
        <v>118</v>
      </c>
      <c r="H13" s="8" t="s">
        <v>292</v>
      </c>
      <c r="I13" s="4" t="s">
        <v>66</v>
      </c>
      <c r="J13" s="6" t="s">
        <v>82</v>
      </c>
      <c r="K13" s="8"/>
    </row>
    <row r="14" spans="1:11" ht="99.6" customHeight="1" x14ac:dyDescent="0.3">
      <c r="A14" s="8" t="s">
        <v>119</v>
      </c>
      <c r="B14" s="8" t="s">
        <v>108</v>
      </c>
      <c r="C14" s="8" t="s">
        <v>109</v>
      </c>
      <c r="D14" s="8" t="s">
        <v>120</v>
      </c>
      <c r="E14" s="8" t="s">
        <v>121</v>
      </c>
      <c r="F14" s="8" t="s">
        <v>122</v>
      </c>
      <c r="G14" s="8" t="s">
        <v>123</v>
      </c>
      <c r="H14" s="8" t="s">
        <v>313</v>
      </c>
      <c r="I14" s="4" t="s">
        <v>66</v>
      </c>
      <c r="J14" s="6" t="s">
        <v>82</v>
      </c>
      <c r="K14" s="8"/>
    </row>
    <row r="15" spans="1:11" ht="68.400000000000006" customHeight="1" x14ac:dyDescent="0.3">
      <c r="A15" s="9" t="s">
        <v>124</v>
      </c>
      <c r="B15" s="9" t="s">
        <v>125</v>
      </c>
      <c r="C15" s="9" t="s">
        <v>126</v>
      </c>
      <c r="D15" s="9" t="s">
        <v>127</v>
      </c>
      <c r="E15" s="9" t="s">
        <v>128</v>
      </c>
      <c r="F15" s="9" t="s">
        <v>129</v>
      </c>
      <c r="G15" s="9" t="s">
        <v>130</v>
      </c>
      <c r="H15" s="9" t="s">
        <v>293</v>
      </c>
      <c r="I15" s="4" t="s">
        <v>66</v>
      </c>
      <c r="J15" s="5" t="s">
        <v>67</v>
      </c>
      <c r="K15" s="9"/>
    </row>
    <row r="16" spans="1:11" ht="67.2" customHeight="1" x14ac:dyDescent="0.3">
      <c r="A16" s="9" t="s">
        <v>131</v>
      </c>
      <c r="B16" s="9" t="s">
        <v>125</v>
      </c>
      <c r="C16" s="9" t="s">
        <v>132</v>
      </c>
      <c r="D16" s="9" t="s">
        <v>133</v>
      </c>
      <c r="E16" s="9" t="s">
        <v>134</v>
      </c>
      <c r="F16" s="9" t="s">
        <v>135</v>
      </c>
      <c r="G16" s="9" t="s">
        <v>136</v>
      </c>
      <c r="H16" s="9" t="s">
        <v>294</v>
      </c>
      <c r="I16" s="4" t="s">
        <v>66</v>
      </c>
      <c r="J16" s="5" t="s">
        <v>67</v>
      </c>
      <c r="K16" s="9"/>
    </row>
    <row r="17" spans="1:11" ht="73.2" customHeight="1" x14ac:dyDescent="0.3">
      <c r="A17" s="9" t="s">
        <v>137</v>
      </c>
      <c r="B17" s="9" t="s">
        <v>125</v>
      </c>
      <c r="C17" s="9" t="s">
        <v>132</v>
      </c>
      <c r="D17" s="9" t="s">
        <v>138</v>
      </c>
      <c r="E17" s="9" t="s">
        <v>139</v>
      </c>
      <c r="F17" s="9" t="s">
        <v>105</v>
      </c>
      <c r="G17" s="9" t="s">
        <v>140</v>
      </c>
      <c r="H17" s="9" t="s">
        <v>295</v>
      </c>
      <c r="I17" s="4" t="s">
        <v>66</v>
      </c>
      <c r="J17" s="5" t="s">
        <v>67</v>
      </c>
      <c r="K17" s="9"/>
    </row>
    <row r="18" spans="1:11" ht="88.2" customHeight="1" x14ac:dyDescent="0.3">
      <c r="A18" s="9" t="s">
        <v>141</v>
      </c>
      <c r="B18" s="9" t="s">
        <v>125</v>
      </c>
      <c r="C18" s="9" t="s">
        <v>132</v>
      </c>
      <c r="D18" s="9" t="s">
        <v>142</v>
      </c>
      <c r="E18" s="9" t="s">
        <v>143</v>
      </c>
      <c r="F18" s="9" t="s">
        <v>105</v>
      </c>
      <c r="G18" s="9" t="s">
        <v>144</v>
      </c>
      <c r="H18" s="9" t="s">
        <v>144</v>
      </c>
      <c r="I18" s="4" t="s">
        <v>66</v>
      </c>
      <c r="J18" s="6" t="s">
        <v>82</v>
      </c>
      <c r="K18" s="9"/>
    </row>
    <row r="19" spans="1:11" ht="84" customHeight="1" x14ac:dyDescent="0.3">
      <c r="A19" s="10" t="s">
        <v>145</v>
      </c>
      <c r="B19" s="10" t="s">
        <v>146</v>
      </c>
      <c r="C19" s="10" t="s">
        <v>147</v>
      </c>
      <c r="D19" s="10" t="s">
        <v>148</v>
      </c>
      <c r="E19" s="10" t="s">
        <v>149</v>
      </c>
      <c r="F19" s="10" t="s">
        <v>150</v>
      </c>
      <c r="G19" s="10" t="s">
        <v>151</v>
      </c>
      <c r="H19" s="10" t="s">
        <v>151</v>
      </c>
      <c r="I19" s="4" t="s">
        <v>66</v>
      </c>
      <c r="J19" s="5" t="s">
        <v>67</v>
      </c>
      <c r="K19" s="10"/>
    </row>
    <row r="20" spans="1:11" ht="76.8" customHeight="1" x14ac:dyDescent="0.3">
      <c r="A20" s="10" t="s">
        <v>152</v>
      </c>
      <c r="B20" s="10" t="s">
        <v>146</v>
      </c>
      <c r="C20" s="10" t="s">
        <v>147</v>
      </c>
      <c r="D20" s="10" t="s">
        <v>153</v>
      </c>
      <c r="E20" s="10" t="s">
        <v>154</v>
      </c>
      <c r="F20" s="10" t="s">
        <v>155</v>
      </c>
      <c r="G20" s="10" t="s">
        <v>156</v>
      </c>
      <c r="H20" s="10" t="s">
        <v>296</v>
      </c>
      <c r="I20" s="35" t="s">
        <v>280</v>
      </c>
      <c r="J20" s="5" t="s">
        <v>67</v>
      </c>
      <c r="K20" s="10"/>
    </row>
    <row r="21" spans="1:11" ht="72.599999999999994" customHeight="1" x14ac:dyDescent="0.3">
      <c r="A21" s="11" t="s">
        <v>157</v>
      </c>
      <c r="B21" s="11" t="s">
        <v>158</v>
      </c>
      <c r="C21" s="11" t="s">
        <v>159</v>
      </c>
      <c r="D21" s="11" t="s">
        <v>160</v>
      </c>
      <c r="E21" s="11" t="s">
        <v>161</v>
      </c>
      <c r="F21" s="11" t="s">
        <v>162</v>
      </c>
      <c r="G21" s="11" t="s">
        <v>163</v>
      </c>
      <c r="H21" s="11" t="s">
        <v>163</v>
      </c>
      <c r="I21" s="4" t="s">
        <v>66</v>
      </c>
      <c r="J21" s="6" t="s">
        <v>82</v>
      </c>
      <c r="K21" s="11"/>
    </row>
    <row r="22" spans="1:11" ht="88.2" customHeight="1" x14ac:dyDescent="0.3">
      <c r="A22" s="11" t="s">
        <v>164</v>
      </c>
      <c r="B22" s="11" t="s">
        <v>158</v>
      </c>
      <c r="C22" s="11" t="s">
        <v>159</v>
      </c>
      <c r="D22" s="11" t="s">
        <v>165</v>
      </c>
      <c r="E22" s="11" t="s">
        <v>166</v>
      </c>
      <c r="F22" s="11" t="s">
        <v>167</v>
      </c>
      <c r="G22" s="11" t="s">
        <v>168</v>
      </c>
      <c r="H22" s="11" t="s">
        <v>168</v>
      </c>
      <c r="I22" s="4" t="s">
        <v>66</v>
      </c>
      <c r="J22" s="6" t="s">
        <v>82</v>
      </c>
      <c r="K22" s="11"/>
    </row>
    <row r="23" spans="1:11" ht="76.2" customHeight="1" x14ac:dyDescent="0.3">
      <c r="A23" s="12" t="s">
        <v>169</v>
      </c>
      <c r="B23" s="12" t="s">
        <v>170</v>
      </c>
      <c r="C23" s="12" t="s">
        <v>171</v>
      </c>
      <c r="D23" s="12" t="s">
        <v>172</v>
      </c>
      <c r="E23" s="12" t="s">
        <v>173</v>
      </c>
      <c r="F23" s="12" t="s">
        <v>174</v>
      </c>
      <c r="G23" s="12" t="s">
        <v>175</v>
      </c>
      <c r="H23" s="12" t="s">
        <v>175</v>
      </c>
      <c r="I23" s="4" t="s">
        <v>66</v>
      </c>
      <c r="J23" s="6" t="s">
        <v>82</v>
      </c>
      <c r="K23" s="12"/>
    </row>
    <row r="24" spans="1:11" ht="76.2" customHeight="1" x14ac:dyDescent="0.3">
      <c r="A24" s="12" t="s">
        <v>176</v>
      </c>
      <c r="B24" s="12" t="s">
        <v>170</v>
      </c>
      <c r="C24" s="12" t="s">
        <v>177</v>
      </c>
      <c r="D24" s="12" t="s">
        <v>178</v>
      </c>
      <c r="E24" s="12" t="s">
        <v>179</v>
      </c>
      <c r="F24" s="12" t="s">
        <v>180</v>
      </c>
      <c r="G24" s="12" t="s">
        <v>181</v>
      </c>
      <c r="H24" s="12" t="s">
        <v>297</v>
      </c>
      <c r="I24" s="4" t="s">
        <v>66</v>
      </c>
      <c r="J24" s="5" t="s">
        <v>67</v>
      </c>
      <c r="K24" s="12"/>
    </row>
    <row r="25" spans="1:11" ht="94.2" customHeight="1" x14ac:dyDescent="0.3">
      <c r="A25" s="13" t="s">
        <v>182</v>
      </c>
      <c r="B25" s="13" t="s">
        <v>183</v>
      </c>
      <c r="C25" s="13" t="s">
        <v>184</v>
      </c>
      <c r="D25" s="13" t="s">
        <v>185</v>
      </c>
      <c r="E25" s="13" t="s">
        <v>186</v>
      </c>
      <c r="F25" s="13" t="s">
        <v>187</v>
      </c>
      <c r="G25" s="13" t="s">
        <v>188</v>
      </c>
      <c r="H25" s="13" t="s">
        <v>301</v>
      </c>
      <c r="I25" s="35" t="s">
        <v>280</v>
      </c>
      <c r="J25" s="4" t="s">
        <v>189</v>
      </c>
      <c r="K25" s="13"/>
    </row>
    <row r="26" spans="1:11" ht="78.599999999999994" customHeight="1" x14ac:dyDescent="0.3">
      <c r="A26" s="14" t="s">
        <v>190</v>
      </c>
      <c r="B26" s="14" t="s">
        <v>191</v>
      </c>
      <c r="C26" s="14" t="s">
        <v>192</v>
      </c>
      <c r="D26" s="14" t="s">
        <v>193</v>
      </c>
      <c r="E26" s="14" t="s">
        <v>194</v>
      </c>
      <c r="F26" s="14" t="s">
        <v>105</v>
      </c>
      <c r="G26" s="14" t="s">
        <v>195</v>
      </c>
      <c r="H26" s="14" t="s">
        <v>303</v>
      </c>
      <c r="I26" s="35" t="s">
        <v>280</v>
      </c>
      <c r="J26" s="6" t="s">
        <v>82</v>
      </c>
      <c r="K26" s="14"/>
    </row>
    <row r="27" spans="1:11" ht="93" customHeight="1" x14ac:dyDescent="0.3">
      <c r="A27" s="14" t="s">
        <v>196</v>
      </c>
      <c r="B27" s="14" t="s">
        <v>191</v>
      </c>
      <c r="C27" s="14" t="s">
        <v>197</v>
      </c>
      <c r="D27" s="14" t="s">
        <v>198</v>
      </c>
      <c r="E27" s="14" t="s">
        <v>199</v>
      </c>
      <c r="F27" s="14" t="s">
        <v>105</v>
      </c>
      <c r="G27" s="14" t="s">
        <v>200</v>
      </c>
      <c r="H27" s="14" t="s">
        <v>200</v>
      </c>
      <c r="I27" s="4" t="s">
        <v>66</v>
      </c>
      <c r="J27" s="4" t="s">
        <v>189</v>
      </c>
      <c r="K27" s="14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EA24-22C7-4990-995A-94348BA420FA}">
  <sheetPr>
    <tabColor rgb="FFFF0000"/>
  </sheetPr>
  <dimension ref="A1:I11"/>
  <sheetViews>
    <sheetView workbookViewId="0">
      <selection activeCell="H6" sqref="H6"/>
    </sheetView>
  </sheetViews>
  <sheetFormatPr defaultRowHeight="14.4" x14ac:dyDescent="0.3"/>
  <cols>
    <col min="1" max="1" width="16.21875" customWidth="1"/>
    <col min="2" max="3" width="17.33203125" customWidth="1"/>
    <col min="4" max="4" width="16.77734375" customWidth="1"/>
    <col min="5" max="5" width="13" customWidth="1"/>
    <col min="6" max="6" width="11.109375" customWidth="1"/>
    <col min="7" max="7" width="11.44140625" customWidth="1"/>
    <col min="8" max="8" width="13.21875" customWidth="1"/>
    <col min="9" max="9" width="14.77734375" customWidth="1"/>
  </cols>
  <sheetData>
    <row r="1" spans="1:9" ht="17.399999999999999" x14ac:dyDescent="0.3">
      <c r="A1" s="48" t="s">
        <v>247</v>
      </c>
      <c r="B1" s="49"/>
      <c r="C1" s="49"/>
      <c r="D1" s="49"/>
      <c r="E1" s="49"/>
      <c r="F1" s="49"/>
      <c r="G1" s="49"/>
      <c r="H1" s="49"/>
      <c r="I1" s="49"/>
    </row>
    <row r="2" spans="1:9" ht="37.200000000000003" customHeight="1" x14ac:dyDescent="0.3">
      <c r="A2" s="26" t="s">
        <v>213</v>
      </c>
      <c r="B2" s="26" t="s">
        <v>214</v>
      </c>
      <c r="C2" s="26" t="s">
        <v>50</v>
      </c>
      <c r="D2" s="26" t="s">
        <v>215</v>
      </c>
      <c r="E2" s="26" t="s">
        <v>216</v>
      </c>
      <c r="F2" s="26" t="s">
        <v>217</v>
      </c>
      <c r="G2" s="26" t="s">
        <v>218</v>
      </c>
      <c r="H2" s="26" t="s">
        <v>219</v>
      </c>
      <c r="I2" s="26" t="s">
        <v>220</v>
      </c>
    </row>
    <row r="3" spans="1:9" ht="84.6" customHeight="1" x14ac:dyDescent="0.3">
      <c r="A3" s="17" t="s">
        <v>221</v>
      </c>
      <c r="B3" s="17" t="s">
        <v>222</v>
      </c>
      <c r="C3" s="17" t="s">
        <v>61</v>
      </c>
      <c r="D3" s="17" t="s">
        <v>223</v>
      </c>
      <c r="E3" s="18">
        <v>5</v>
      </c>
      <c r="F3" s="18">
        <f t="shared" ref="F3:F11" si="0">E3</f>
        <v>5</v>
      </c>
      <c r="G3" s="18">
        <f t="shared" ref="G3:G11" si="1">F3-H3</f>
        <v>5</v>
      </c>
      <c r="H3" s="18">
        <v>0</v>
      </c>
      <c r="I3" s="22" t="s">
        <v>249</v>
      </c>
    </row>
    <row r="4" spans="1:9" ht="87" customHeight="1" x14ac:dyDescent="0.3">
      <c r="A4" s="20" t="s">
        <v>224</v>
      </c>
      <c r="B4" s="20" t="s">
        <v>225</v>
      </c>
      <c r="C4" s="20" t="s">
        <v>88</v>
      </c>
      <c r="D4" s="23" t="s">
        <v>226</v>
      </c>
      <c r="E4" s="21">
        <v>4</v>
      </c>
      <c r="F4" s="21">
        <f t="shared" si="0"/>
        <v>4</v>
      </c>
      <c r="G4" s="21">
        <f t="shared" si="1"/>
        <v>4</v>
      </c>
      <c r="H4" s="21">
        <v>0</v>
      </c>
      <c r="I4" s="22" t="s">
        <v>249</v>
      </c>
    </row>
    <row r="5" spans="1:9" ht="70.2" customHeight="1" x14ac:dyDescent="0.3">
      <c r="A5" s="17" t="s">
        <v>227</v>
      </c>
      <c r="B5" s="17" t="s">
        <v>228</v>
      </c>
      <c r="C5" s="17" t="s">
        <v>108</v>
      </c>
      <c r="D5" s="24" t="s">
        <v>229</v>
      </c>
      <c r="E5" s="18">
        <v>3</v>
      </c>
      <c r="F5" s="18">
        <f t="shared" si="0"/>
        <v>3</v>
      </c>
      <c r="G5" s="18">
        <f t="shared" si="1"/>
        <v>3</v>
      </c>
      <c r="H5" s="18">
        <v>0</v>
      </c>
      <c r="I5" s="22" t="s">
        <v>249</v>
      </c>
    </row>
    <row r="6" spans="1:9" ht="77.400000000000006" customHeight="1" x14ac:dyDescent="0.3">
      <c r="A6" s="20" t="s">
        <v>230</v>
      </c>
      <c r="B6" s="20" t="s">
        <v>231</v>
      </c>
      <c r="C6" s="20" t="s">
        <v>125</v>
      </c>
      <c r="D6" s="20" t="s">
        <v>232</v>
      </c>
      <c r="E6" s="21">
        <v>4</v>
      </c>
      <c r="F6" s="21">
        <f t="shared" si="0"/>
        <v>4</v>
      </c>
      <c r="G6" s="21">
        <f t="shared" si="1"/>
        <v>4</v>
      </c>
      <c r="H6" s="21">
        <v>0</v>
      </c>
      <c r="I6" s="22" t="s">
        <v>249</v>
      </c>
    </row>
    <row r="7" spans="1:9" ht="52.2" customHeight="1" x14ac:dyDescent="0.3">
      <c r="A7" s="17" t="s">
        <v>233</v>
      </c>
      <c r="B7" s="17" t="s">
        <v>234</v>
      </c>
      <c r="C7" s="17" t="s">
        <v>146</v>
      </c>
      <c r="D7" s="17" t="s">
        <v>235</v>
      </c>
      <c r="E7" s="18">
        <v>2</v>
      </c>
      <c r="F7" s="18">
        <f t="shared" si="0"/>
        <v>2</v>
      </c>
      <c r="G7" s="18">
        <f t="shared" si="1"/>
        <v>1</v>
      </c>
      <c r="H7" s="18">
        <v>1</v>
      </c>
      <c r="I7" s="19" t="s">
        <v>248</v>
      </c>
    </row>
    <row r="8" spans="1:9" ht="26.4" x14ac:dyDescent="0.3">
      <c r="A8" s="20" t="s">
        <v>236</v>
      </c>
      <c r="B8" s="20" t="s">
        <v>237</v>
      </c>
      <c r="C8" s="20" t="s">
        <v>158</v>
      </c>
      <c r="D8" s="20" t="s">
        <v>238</v>
      </c>
      <c r="E8" s="21">
        <v>2</v>
      </c>
      <c r="F8" s="21">
        <f t="shared" si="0"/>
        <v>2</v>
      </c>
      <c r="G8" s="21">
        <f t="shared" si="1"/>
        <v>2</v>
      </c>
      <c r="H8" s="21">
        <v>0</v>
      </c>
      <c r="I8" s="22" t="s">
        <v>249</v>
      </c>
    </row>
    <row r="9" spans="1:9" ht="43.2" customHeight="1" x14ac:dyDescent="0.3">
      <c r="A9" s="17" t="s">
        <v>239</v>
      </c>
      <c r="B9" s="17" t="s">
        <v>240</v>
      </c>
      <c r="C9" s="17" t="s">
        <v>170</v>
      </c>
      <c r="D9" s="17" t="s">
        <v>241</v>
      </c>
      <c r="E9" s="18">
        <v>2</v>
      </c>
      <c r="F9" s="18">
        <f t="shared" si="0"/>
        <v>2</v>
      </c>
      <c r="G9" s="18">
        <f t="shared" si="1"/>
        <v>2</v>
      </c>
      <c r="H9" s="18">
        <v>0</v>
      </c>
      <c r="I9" s="22" t="s">
        <v>249</v>
      </c>
    </row>
    <row r="10" spans="1:9" ht="38.4" customHeight="1" x14ac:dyDescent="0.3">
      <c r="A10" s="20" t="s">
        <v>242</v>
      </c>
      <c r="B10" s="20" t="s">
        <v>243</v>
      </c>
      <c r="C10" s="20" t="s">
        <v>183</v>
      </c>
      <c r="D10" s="20" t="s">
        <v>182</v>
      </c>
      <c r="E10" s="21">
        <v>1</v>
      </c>
      <c r="F10" s="21">
        <f t="shared" si="0"/>
        <v>1</v>
      </c>
      <c r="G10" s="21">
        <f t="shared" si="1"/>
        <v>0</v>
      </c>
      <c r="H10" s="21">
        <v>1</v>
      </c>
      <c r="I10" s="19" t="s">
        <v>248</v>
      </c>
    </row>
    <row r="11" spans="1:9" ht="41.4" customHeight="1" x14ac:dyDescent="0.3">
      <c r="A11" s="17" t="s">
        <v>244</v>
      </c>
      <c r="B11" s="17" t="s">
        <v>245</v>
      </c>
      <c r="C11" s="17" t="s">
        <v>191</v>
      </c>
      <c r="D11" s="17" t="s">
        <v>246</v>
      </c>
      <c r="E11" s="18">
        <v>2</v>
      </c>
      <c r="F11" s="18">
        <f t="shared" si="0"/>
        <v>2</v>
      </c>
      <c r="G11" s="18">
        <f t="shared" si="1"/>
        <v>1</v>
      </c>
      <c r="H11" s="18">
        <v>1</v>
      </c>
      <c r="I11" s="19" t="s">
        <v>248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74C7-CDEE-42C4-BF7D-869403CA40C0}">
  <sheetPr>
    <tabColor rgb="FF00B050"/>
  </sheetPr>
  <dimension ref="A1:L7"/>
  <sheetViews>
    <sheetView topLeftCell="E1" zoomScale="110" workbookViewId="0">
      <selection activeCell="L3" sqref="L3"/>
    </sheetView>
  </sheetViews>
  <sheetFormatPr defaultRowHeight="14.4" x14ac:dyDescent="0.3"/>
  <cols>
    <col min="1" max="1" width="11.33203125" customWidth="1"/>
    <col min="2" max="2" width="17.6640625" customWidth="1"/>
    <col min="3" max="3" width="17.77734375" customWidth="1"/>
    <col min="4" max="4" width="26.6640625" customWidth="1"/>
    <col min="5" max="5" width="26.33203125" customWidth="1"/>
    <col min="6" max="6" width="17.88671875" customWidth="1"/>
    <col min="7" max="7" width="22.21875" customWidth="1"/>
    <col min="8" max="8" width="18.33203125" customWidth="1"/>
    <col min="9" max="9" width="18.6640625" customWidth="1"/>
    <col min="10" max="10" width="14.6640625" customWidth="1"/>
    <col min="11" max="11" width="14.5546875" customWidth="1"/>
    <col min="12" max="12" width="12.88671875" customWidth="1"/>
  </cols>
  <sheetData>
    <row r="1" spans="1:12" ht="28.2" customHeight="1" x14ac:dyDescent="0.3">
      <c r="A1" s="50" t="s">
        <v>212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26.4" x14ac:dyDescent="0.3">
      <c r="A2" s="15" t="s">
        <v>202</v>
      </c>
      <c r="B2" s="15" t="s">
        <v>49</v>
      </c>
      <c r="C2" s="15" t="s">
        <v>50</v>
      </c>
      <c r="D2" s="15" t="s">
        <v>203</v>
      </c>
      <c r="E2" s="15" t="s">
        <v>204</v>
      </c>
      <c r="F2" s="15" t="s">
        <v>55</v>
      </c>
      <c r="G2" s="15" t="s">
        <v>56</v>
      </c>
      <c r="H2" s="15" t="s">
        <v>205</v>
      </c>
      <c r="I2" s="15" t="s">
        <v>58</v>
      </c>
      <c r="J2" s="15" t="s">
        <v>57</v>
      </c>
      <c r="K2" s="15" t="s">
        <v>206</v>
      </c>
      <c r="L2" s="15" t="s">
        <v>207</v>
      </c>
    </row>
    <row r="3" spans="1:12" ht="79.2" customHeight="1" x14ac:dyDescent="0.3">
      <c r="A3" s="16" t="s">
        <v>208</v>
      </c>
      <c r="B3" s="16" t="s">
        <v>152</v>
      </c>
      <c r="C3" s="16" t="s">
        <v>146</v>
      </c>
      <c r="D3" s="16" t="s">
        <v>299</v>
      </c>
      <c r="E3" s="16" t="s">
        <v>154</v>
      </c>
      <c r="F3" s="16" t="s">
        <v>156</v>
      </c>
      <c r="G3" s="16" t="s">
        <v>296</v>
      </c>
      <c r="H3" s="5" t="s">
        <v>67</v>
      </c>
      <c r="I3" s="5" t="s">
        <v>67</v>
      </c>
      <c r="J3" s="5" t="s">
        <v>209</v>
      </c>
      <c r="K3" s="16" t="s">
        <v>279</v>
      </c>
      <c r="L3" s="66">
        <v>46170</v>
      </c>
    </row>
    <row r="4" spans="1:12" ht="68.400000000000006" customHeight="1" x14ac:dyDescent="0.3">
      <c r="A4" s="16" t="s">
        <v>210</v>
      </c>
      <c r="B4" s="16" t="s">
        <v>182</v>
      </c>
      <c r="C4" s="16" t="s">
        <v>183</v>
      </c>
      <c r="D4" s="16" t="s">
        <v>300</v>
      </c>
      <c r="E4" s="16" t="s">
        <v>186</v>
      </c>
      <c r="F4" s="16" t="s">
        <v>188</v>
      </c>
      <c r="G4" s="16" t="s">
        <v>301</v>
      </c>
      <c r="H4" s="6" t="s">
        <v>82</v>
      </c>
      <c r="I4" s="6" t="s">
        <v>82</v>
      </c>
      <c r="J4" s="5" t="s">
        <v>209</v>
      </c>
      <c r="K4" s="16" t="s">
        <v>279</v>
      </c>
      <c r="L4" s="66">
        <v>46171</v>
      </c>
    </row>
    <row r="5" spans="1:12" ht="78.599999999999994" customHeight="1" x14ac:dyDescent="0.3">
      <c r="A5" s="16" t="s">
        <v>211</v>
      </c>
      <c r="B5" s="16" t="s">
        <v>190</v>
      </c>
      <c r="C5" s="16" t="s">
        <v>191</v>
      </c>
      <c r="D5" s="16" t="s">
        <v>303</v>
      </c>
      <c r="E5" s="16" t="s">
        <v>194</v>
      </c>
      <c r="F5" s="16" t="s">
        <v>195</v>
      </c>
      <c r="G5" s="16" t="s">
        <v>298</v>
      </c>
      <c r="H5" s="35" t="s">
        <v>302</v>
      </c>
      <c r="I5" s="5" t="s">
        <v>67</v>
      </c>
      <c r="J5" s="5" t="s">
        <v>209</v>
      </c>
      <c r="K5" s="16" t="s">
        <v>279</v>
      </c>
      <c r="L5" s="66">
        <v>46171</v>
      </c>
    </row>
    <row r="6" spans="1:12" x14ac:dyDescent="0.3">
      <c r="A6" s="16"/>
      <c r="B6" s="16"/>
      <c r="C6" s="16"/>
      <c r="D6" s="16"/>
      <c r="E6" s="16"/>
      <c r="F6" s="16"/>
      <c r="G6" s="16"/>
      <c r="H6" s="36"/>
      <c r="I6" s="36"/>
      <c r="J6" s="36"/>
      <c r="K6" s="16"/>
      <c r="L6" s="34"/>
    </row>
    <row r="7" spans="1:12" x14ac:dyDescent="0.3">
      <c r="A7" s="16"/>
      <c r="B7" s="16"/>
      <c r="C7" s="16"/>
      <c r="D7" s="16"/>
      <c r="E7" s="16"/>
      <c r="F7" s="16"/>
      <c r="G7" s="16"/>
      <c r="H7" s="36"/>
      <c r="I7" s="36"/>
      <c r="J7" s="36"/>
      <c r="K7" s="16"/>
      <c r="L7" s="34"/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8E3F-DCC3-4FE2-BF4C-1AD1E8E177F6}">
  <sheetPr>
    <tabColor theme="4"/>
  </sheetPr>
  <dimension ref="A1:F22"/>
  <sheetViews>
    <sheetView tabSelected="1" workbookViewId="0">
      <selection activeCell="E46" sqref="E46"/>
    </sheetView>
  </sheetViews>
  <sheetFormatPr defaultRowHeight="14.4" x14ac:dyDescent="0.3"/>
  <cols>
    <col min="1" max="1" width="17.33203125" customWidth="1"/>
    <col min="2" max="2" width="18" customWidth="1"/>
    <col min="3" max="3" width="17.77734375" customWidth="1"/>
    <col min="4" max="4" width="18" customWidth="1"/>
    <col min="5" max="5" width="17.5546875" customWidth="1"/>
    <col min="6" max="6" width="15" customWidth="1"/>
  </cols>
  <sheetData>
    <row r="1" spans="1:6" ht="34.799999999999997" customHeight="1" x14ac:dyDescent="0.3">
      <c r="A1" s="59" t="s">
        <v>278</v>
      </c>
      <c r="B1" s="59"/>
      <c r="C1" s="59"/>
      <c r="D1" s="59"/>
      <c r="E1" s="59"/>
      <c r="F1" s="59"/>
    </row>
    <row r="2" spans="1:6" x14ac:dyDescent="0.3">
      <c r="A2" s="31" t="s">
        <v>250</v>
      </c>
      <c r="B2" s="57" t="s">
        <v>251</v>
      </c>
      <c r="C2" s="58"/>
      <c r="D2" s="58"/>
      <c r="E2" s="58"/>
      <c r="F2" s="58"/>
    </row>
    <row r="3" spans="1:6" ht="26.4" x14ac:dyDescent="0.3">
      <c r="A3" s="31" t="s">
        <v>252</v>
      </c>
      <c r="B3" s="60" t="s">
        <v>253</v>
      </c>
      <c r="C3" s="61"/>
      <c r="D3" s="61"/>
      <c r="E3" s="61"/>
      <c r="F3" s="61"/>
    </row>
    <row r="4" spans="1:6" ht="26.4" x14ac:dyDescent="0.3">
      <c r="A4" s="31" t="s">
        <v>254</v>
      </c>
      <c r="B4" s="60" t="s">
        <v>255</v>
      </c>
      <c r="C4" s="61"/>
      <c r="D4" s="61"/>
      <c r="E4" s="61"/>
      <c r="F4" s="61"/>
    </row>
    <row r="5" spans="1:6" x14ac:dyDescent="0.3">
      <c r="A5" s="31" t="s">
        <v>256</v>
      </c>
      <c r="B5" s="63" t="s">
        <v>304</v>
      </c>
      <c r="C5" s="64"/>
      <c r="D5" s="64"/>
      <c r="E5" s="64"/>
      <c r="F5" s="64"/>
    </row>
    <row r="6" spans="1:6" x14ac:dyDescent="0.3">
      <c r="A6" s="31" t="s">
        <v>257</v>
      </c>
      <c r="B6" s="60" t="s">
        <v>275</v>
      </c>
      <c r="C6" s="61"/>
      <c r="D6" s="61"/>
      <c r="E6" s="61"/>
      <c r="F6" s="61"/>
    </row>
    <row r="7" spans="1:6" ht="26.4" x14ac:dyDescent="0.3">
      <c r="A7" s="31" t="s">
        <v>258</v>
      </c>
      <c r="B7" s="60" t="s">
        <v>276</v>
      </c>
      <c r="C7" s="61"/>
      <c r="D7" s="61"/>
      <c r="E7" s="61"/>
      <c r="F7" s="61"/>
    </row>
    <row r="8" spans="1:6" ht="26.4" x14ac:dyDescent="0.3">
      <c r="A8" s="27" t="s">
        <v>259</v>
      </c>
      <c r="B8" s="52" t="s">
        <v>277</v>
      </c>
      <c r="C8" s="53"/>
      <c r="D8" s="53"/>
      <c r="E8" s="53"/>
      <c r="F8" s="53"/>
    </row>
    <row r="11" spans="1:6" ht="30" customHeight="1" x14ac:dyDescent="0.3">
      <c r="A11" s="54" t="s">
        <v>260</v>
      </c>
      <c r="B11" s="55"/>
      <c r="C11" s="55"/>
      <c r="D11" s="55"/>
      <c r="E11" s="55"/>
      <c r="F11" s="55"/>
    </row>
    <row r="12" spans="1:6" x14ac:dyDescent="0.3">
      <c r="A12" s="28" t="s">
        <v>261</v>
      </c>
      <c r="B12" s="28" t="s">
        <v>262</v>
      </c>
      <c r="C12" s="28" t="s">
        <v>261</v>
      </c>
      <c r="D12" s="28" t="s">
        <v>262</v>
      </c>
      <c r="E12" s="28" t="s">
        <v>261</v>
      </c>
      <c r="F12" s="28" t="s">
        <v>262</v>
      </c>
    </row>
    <row r="13" spans="1:6" ht="28.8" customHeight="1" x14ac:dyDescent="0.3">
      <c r="A13" s="21" t="s">
        <v>263</v>
      </c>
      <c r="B13" s="21">
        <v>25</v>
      </c>
      <c r="C13" s="29" t="s">
        <v>218</v>
      </c>
      <c r="D13" s="29">
        <v>22</v>
      </c>
      <c r="E13" s="37" t="s">
        <v>264</v>
      </c>
      <c r="F13" s="65">
        <v>0.88</v>
      </c>
    </row>
    <row r="14" spans="1:6" ht="29.4" customHeight="1" x14ac:dyDescent="0.3">
      <c r="A14" s="21" t="s">
        <v>265</v>
      </c>
      <c r="B14" s="21">
        <v>25</v>
      </c>
      <c r="C14" s="29" t="s">
        <v>219</v>
      </c>
      <c r="D14" s="29">
        <v>3</v>
      </c>
      <c r="E14" s="37" t="s">
        <v>266</v>
      </c>
      <c r="F14" s="62">
        <v>0.12</v>
      </c>
    </row>
    <row r="15" spans="1:6" ht="29.4" customHeight="1" x14ac:dyDescent="0.3">
      <c r="A15" s="21" t="s">
        <v>267</v>
      </c>
      <c r="B15" s="21">
        <v>0</v>
      </c>
      <c r="C15" s="29" t="s">
        <v>268</v>
      </c>
      <c r="D15" s="29">
        <v>0</v>
      </c>
      <c r="E15" s="37" t="s">
        <v>269</v>
      </c>
      <c r="F15" s="37">
        <v>0</v>
      </c>
    </row>
    <row r="17" spans="1:6" ht="29.4" customHeight="1" x14ac:dyDescent="0.3">
      <c r="A17" s="54" t="s">
        <v>270</v>
      </c>
      <c r="B17" s="56"/>
      <c r="C17" s="56"/>
      <c r="D17" s="56"/>
      <c r="E17" s="56"/>
      <c r="F17" s="56"/>
    </row>
    <row r="18" spans="1:6" ht="31.8" customHeight="1" x14ac:dyDescent="0.3">
      <c r="A18" s="28" t="s">
        <v>205</v>
      </c>
      <c r="B18" s="28" t="s">
        <v>262</v>
      </c>
      <c r="C18" s="32"/>
      <c r="D18" s="32"/>
      <c r="E18" s="32"/>
      <c r="F18" s="32"/>
    </row>
    <row r="19" spans="1:6" ht="25.8" customHeight="1" x14ac:dyDescent="0.3">
      <c r="A19" s="30" t="s">
        <v>271</v>
      </c>
      <c r="B19" s="30">
        <v>1</v>
      </c>
      <c r="C19" s="33"/>
      <c r="D19" s="33"/>
      <c r="E19" s="33"/>
      <c r="F19" s="33"/>
    </row>
    <row r="20" spans="1:6" ht="31.2" customHeight="1" x14ac:dyDescent="0.3">
      <c r="A20" s="30" t="s">
        <v>272</v>
      </c>
      <c r="B20" s="25">
        <v>1</v>
      </c>
      <c r="C20" s="33"/>
      <c r="D20" s="33"/>
      <c r="E20" s="33"/>
      <c r="F20" s="33"/>
    </row>
    <row r="21" spans="1:6" ht="30.6" customHeight="1" x14ac:dyDescent="0.3">
      <c r="A21" s="30" t="s">
        <v>273</v>
      </c>
      <c r="B21" s="25">
        <v>1</v>
      </c>
      <c r="C21" s="33"/>
      <c r="D21" s="33"/>
      <c r="E21" s="33"/>
      <c r="F21" s="33"/>
    </row>
    <row r="22" spans="1:6" ht="26.4" customHeight="1" x14ac:dyDescent="0.3">
      <c r="A22" s="30" t="s">
        <v>274</v>
      </c>
      <c r="B22" s="25">
        <v>0</v>
      </c>
      <c r="C22" s="33"/>
      <c r="D22" s="33"/>
      <c r="E22" s="33"/>
      <c r="F22" s="33"/>
    </row>
  </sheetData>
  <mergeCells count="10">
    <mergeCell ref="B8:F8"/>
    <mergeCell ref="A11:F11"/>
    <mergeCell ref="A17:F17"/>
    <mergeCell ref="B2:F2"/>
    <mergeCell ref="A1:F1"/>
    <mergeCell ref="B3:F3"/>
    <mergeCell ref="B4:F4"/>
    <mergeCell ref="B5:F5"/>
    <mergeCell ref="B6:F6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Plan</vt:lpstr>
      <vt:lpstr>Test Case</vt:lpstr>
      <vt:lpstr>RTM Report</vt:lpstr>
      <vt:lpstr>Bug Report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Man</dc:creator>
  <cp:lastModifiedBy>Massimo Man</cp:lastModifiedBy>
  <dcterms:created xsi:type="dcterms:W3CDTF">2026-05-29T04:27:14Z</dcterms:created>
  <dcterms:modified xsi:type="dcterms:W3CDTF">2026-05-30T12:18:28Z</dcterms:modified>
</cp:coreProperties>
</file>